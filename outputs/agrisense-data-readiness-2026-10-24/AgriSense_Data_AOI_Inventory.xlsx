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d6f87c7ce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e3a037b3cff456b"/>
    <x:sheet xmlns:r="http://schemas.openxmlformats.org/officeDocument/2006/relationships" name="Dataset Inventory" sheetId="2" r:id="Raf8c26c2cf57453d"/>
    <x:sheet xmlns:r="http://schemas.openxmlformats.org/officeDocument/2006/relationships" name="Crop Counts" sheetId="3" r:id="R54695cfec6694e1b"/>
    <x:sheet xmlns:r="http://schemas.openxmlformats.org/officeDocument/2006/relationships" name="Spatial Overlap" sheetId="4" r:id="R79199b580d494b32"/>
    <x:sheet xmlns:r="http://schemas.openxmlformats.org/officeDocument/2006/relationships" name="Next Actions" sheetId="5" r:id="R26a46a4a1f54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9">
    <x:font>
      <x:sz val="11"/>
      <x:name val="Carlito"/>
    </x:font>
    <x:font>
      <x:b/>
      <x:sz val="15"/>
      <x:color rgb="FF163A52"/>
      <x:name val="Arial"/>
    </x:font>
    <x:font>
      <x:i/>
      <x:sz val="10"/>
      <x:color rgb="FF21313C"/>
      <x:name val="Arial"/>
    </x:font>
    <x:font>
      <x:b/>
      <x:sz val="10"/>
      <x:color rgb="FFFFFFFF"/>
      <x:name val="Arial"/>
    </x:font>
    <x:font>
      <x:b/>
      <x:sz val="11"/>
      <x:color rgb="FF163A52"/>
      <x:name val="Arial"/>
    </x:font>
    <x:font>
      <x:b/>
      <x:sz val="10"/>
      <x:color rgb="FF163A52"/>
      <x:name val="Arial"/>
    </x:font>
    <x:font>
      <x:sz val="9"/>
      <x:color rgb="FF21313C"/>
      <x:name val="Arial"/>
    </x:font>
    <x:font>
      <x:b/>
      <x:sz val="10"/>
      <x:color rgb="FF21313C"/>
      <x:name val="Arial"/>
    </x:font>
    <x:font>
      <x:sz val="10"/>
      <x:color rgb="FF2131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A52"/>
      </x:patternFill>
    </x:fill>
    <x:fill>
      <x:patternFill patternType="solid">
        <x:fgColor rgb="FFDCEAF2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9E1E6"/>
      </x:right>
      <x:top/>
      <x:bottom style="thin">
        <x:color rgb="FFD9E1E6"/>
      </x:bottom>
      <x:diagonal/>
    </x:border>
    <x:border>
      <x:left style="thin">
        <x:color rgb="FFD9E1E6"/>
      </x:left>
      <x:right/>
      <x:top/>
      <x:bottom style="thin">
        <x:color rgb="FFD9E1E6"/>
      </x:bottom>
      <x:diagonal/>
    </x:border>
    <x:border>
      <x:left/>
      <x:right style="thin">
        <x:color rgb="FFD9E1E6"/>
      </x:right>
      <x:top style="thin">
        <x:color rgb="FFD9E1E6"/>
      </x:top>
      <x:bottom style="thin">
        <x:color rgb="FFD9E1E6"/>
      </x:bottom>
      <x:diagonal/>
    </x:border>
    <x:border>
      <x:left style="thin">
        <x:color rgb="FFD9E1E6"/>
      </x:left>
      <x:right/>
      <x:top style="thin">
        <x:color rgb="FFD9E1E6"/>
      </x:top>
      <x:bottom style="thin">
        <x:color rgb="FFD9E1E6"/>
      </x:bottom>
      <x:diagonal/>
    </x:border>
    <x:border>
      <x:left/>
      <x:right style="thin">
        <x:color rgb="FFD9E1E6"/>
      </x:right>
      <x:top style="thin">
        <x:color rgb="FFD9E1E6"/>
      </x:top>
      <x:bottom/>
      <x:diagonal/>
    </x:border>
    <x:border>
      <x:left style="thin">
        <x:color rgb="FFD9E1E6"/>
      </x:left>
      <x:right/>
      <x:top style="thin">
        <x:color rgb="FFD9E1E6"/>
      </x:top>
      <x:bottom/>
      <x:diagonal/>
    </x:border>
    <x:border>
      <x:left style="thin">
        <x:color rgb="FFD9E1E6"/>
      </x:left>
      <x:right style="thin">
        <x:color rgb="FFD9E1E6"/>
      </x:right>
      <x:top/>
      <x:bottom style="thin">
        <x:color rgb="FFD9E1E6"/>
      </x:bottom>
      <x:diagonal/>
    </x:border>
    <x:border>
      <x:left style="thin">
        <x:color rgb="FFD9E1E6"/>
      </x:left>
      <x:right style="thin">
        <x:color rgb="FFD9E1E6"/>
      </x:right>
      <x:top style="thin">
        <x:color rgb="FFD9E1E6"/>
      </x:top>
      <x:bottom style="thin">
        <x:color rgb="FFD9E1E6"/>
      </x:bottom>
      <x:diagonal/>
    </x:border>
    <x:border>
      <x:left style="thin">
        <x:color rgb="FFD9E1E6"/>
      </x:left>
      <x:right style="thin">
        <x:color rgb="FFD9E1E6"/>
      </x:right>
      <x:top style="thin">
        <x:color rgb="FFD9E1E6"/>
      </x:top>
      <x:bottom/>
      <x:diagonal/>
    </x:border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4" fillId="0" borderId="2" xfId="0" applyNumberFormat="1" applyFont="1" applyFill="1" applyBorder="1"/>
    <x:xf numFmtId="200" fontId="4" fillId="0" borderId="4" xfId="0" applyNumberFormat="1" applyFont="1" applyFill="1" applyBorder="1"/>
    <x:xf numFmtId="200" fontId="4" fillId="0" borderId="6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200" fontId="7" fillId="0" borderId="2" xfId="0" applyNumberFormat="1" applyFont="1" applyFill="1" applyBorder="1"/>
    <x:xf numFmtId="0" fontId="8" fillId="0" borderId="3" xfId="0" applyNumberFormat="1" applyFont="1" applyFill="1" applyBorder="1"/>
    <x:xf numFmtId="200" fontId="7" fillId="0" borderId="4" xfId="0" applyNumberFormat="1" applyFont="1" applyFill="1" applyBorder="1"/>
    <x:xf numFmtId="0" fontId="8" fillId="0" borderId="5" xfId="0" applyNumberFormat="1" applyFont="1" applyFill="1" applyBorder="1"/>
    <x:xf numFmtId="200" fontId="7" fillId="0" borderId="6" xfId="0" applyNumberFormat="1" applyFont="1" applyFill="1" applyBorder="1"/>
    <x:xf numFmtId="200" fontId="8" fillId="0" borderId="7" xfId="0" applyNumberFormat="1" applyFont="1" applyFill="1" applyBorder="1"/>
    <x:xf numFmtId="0" fontId="8" fillId="0" borderId="2" xfId="0" applyNumberFormat="1" applyFont="1" applyFill="1" applyBorder="1"/>
    <x:xf numFmtId="200" fontId="8" fillId="0" borderId="8" xfId="0" applyNumberFormat="1" applyFont="1" applyFill="1" applyBorder="1"/>
    <x:xf numFmtId="0" fontId="8" fillId="0" borderId="4" xfId="0" applyNumberFormat="1" applyFont="1" applyFill="1" applyBorder="1"/>
    <x:xf numFmtId="200" fontId="8" fillId="0" borderId="9" xfId="0" applyNumberFormat="1" applyFont="1" applyFill="1" applyBorder="1"/>
    <x:xf numFmtId="0" fontId="8" fillId="0" borderId="6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200" fontId="8" fillId="0" borderId="7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200" fontId="8" fillId="0" borderId="8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200" fontId="8" fillId="0" borderId="9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0"/>
    </x:xf>
    <x:xf numFmtId="0" fontId="7" fillId="4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200" fontId="8" fillId="0" borderId="7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200" fontId="8" fillId="0" borderId="8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200" fontId="8" fillId="0" borderId="9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32d372ef944a9" /><Relationship Type="http://schemas.openxmlformats.org/officeDocument/2006/relationships/theme" Target="/xl/theme/theme1.xml" Id="R535f101ffd0d4aca" /><Relationship Type="http://schemas.openxmlformats.org/officeDocument/2006/relationships/sharedStrings" Target="/xl/sharedStrings.xml" Id="R10ff162cfbe74fe5" /><Relationship Type="http://schemas.openxmlformats.org/officeDocument/2006/relationships/worksheet" Target="/xl/worksheets/sheet1.xml" Id="R1e3a037b3cff456b" /><Relationship Type="http://schemas.openxmlformats.org/officeDocument/2006/relationships/worksheet" Target="/xl/worksheets/sheet2.xml" Id="Raf8c26c2cf57453d" /><Relationship Type="http://schemas.openxmlformats.org/officeDocument/2006/relationships/worksheet" Target="/xl/worksheets/sheet3.xml" Id="R54695cfec6694e1b" /><Relationship Type="http://schemas.openxmlformats.org/officeDocument/2006/relationships/worksheet" Target="/xl/worksheets/sheet4.xml" Id="R79199b580d494b32" /><Relationship Type="http://schemas.openxmlformats.org/officeDocument/2006/relationships/worksheet" Target="/xl/worksheets/sheet5.xml" Id="R26a46a4a1f544e85" /></Relationships>
</file>

<file path=xl/tables/table1.xml><?xml version="1.0" encoding="utf-8"?>
<x:table xmlns:x="http://schemas.openxmlformats.org/spreadsheetml/2006/main" id="1" name="DatasetInventory" displayName="DatasetInventory" ref="A1:J9" headerRowCount="1" totalsRowCount="0" totalsRowShown="0">
  <x:tableColumns count="10">
    <x:tableColumn id="1" name="ID"/>
    <x:tableColumn id="2" name="Dataset / source"/>
    <x:tableColumn id="3" name="Source URL"/>
    <x:tableColumn id="4" name="Geometry / CRS"/>
    <x:tableColumn id="5" name="Dates / season"/>
    <x:tableColumn id="6" name="Known attributes / evidence"/>
    <x:tableColumn id="7" name="Potential use"/>
    <x:tableColumn id="8" name="Licence / reuse"/>
    <x:tableColumn id="9" name="Status"/>
    <x:tableColumn id="10" name="Evidence / cave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pCounts" displayName="CropCounts" ref="A1:C36" headerRowCount="1" totalsRowCount="0" totalsRowShown="0">
  <x:tableColumns count="3">
    <x:tableColumn id="1" name="Month"/>
    <x:tableColumn id="2" name="Crop label (source field)"/>
    <x:tableColumn id="3" name="Count (point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atialOverlap" displayName="SpatialOverlap" ref="A1:H17" headerRowCount="1" totalsRowCount="0" totalsRowShown="0">
  <x:tableColumns count="8">
    <x:tableColumn id="1" name="Boundary source"/>
    <x:tableColumn id="2" name="Candidate label"/>
    <x:tableColumn id="3" name="February"/>
    <x:tableColumn id="4" name="March"/>
    <x:tableColumn id="5" name="April"/>
    <x:tableColumn id="6" name="Total"/>
    <x:tableColumn id="7" name="% of all monthly points"/>
    <x:tableColumn id="8" name="Authority verified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requisiteActions" displayName="PrerequisiteActions" ref="A1:F10" headerRowCount="1" totalsRowCount="0" totalsRowShown="0">
  <x:tableColumns count="6">
    <x:tableColumn id="1" name="Task / gate"/>
    <x:tableColumn id="2" name="Owner / provider"/>
    <x:tableColumn id="3" name="Required action"/>
    <x:tableColumn id="4" name="Status"/>
    <x:tableColumn id="5" name="Current blocker / evidence"/>
    <x:tableColumn id="6" name="Close cond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0dc325052a45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7e0ec227b649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962bd9bb1645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fb4d2a9c0645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7" t="str">
        <x:v>AgriSense — Data &amp; AOI Readiness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>
      <x:c r="A2" s="48" t="str">
        <x:v>Evidence checkpoint: 24 Oct 2026 | Zindi CSV and NWIC project inventory locally audited; CRS, label permissions, AOI authority and advisory validation remain open.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</x:row>
    <x:row r="4">
      <x:c r="A4" s="7" t="str">
        <x:v>Readiness indicator</x:v>
      </x:c>
      <x:c r="B4" s="7" t="str">
        <x:v>Verified value</x:v>
      </x:c>
      <x:c r="C4" s="49"/>
      <x:c r="D4" s="49"/>
      <x:c r="E4" s="49"/>
      <x:c r="F4" s="49"/>
      <x:c r="G4" s="49"/>
      <x:c r="H4" s="49"/>
      <x:c r="I4" s="49"/>
      <x:c r="J4" s="49"/>
    </x:row>
    <x:row r="5">
      <x:c r="A5" s="50" t="str">
        <x:v>TGRAC crop points downloaded</x:v>
      </x:c>
      <x:c r="B5" s="51" t="n">
        <x:f>SUM('Crop Counts'!C2:C36)</x:f>
        <x:v>2446</x:v>
      </x:c>
      <x:c r="C5" s="49"/>
      <x:c r="D5" s="49"/>
      <x:c r="E5" s="49"/>
      <x:c r="F5" s="49"/>
      <x:c r="G5" s="49"/>
      <x:c r="H5" s="49"/>
      <x:c r="I5" s="49"/>
      <x:c r="J5" s="49"/>
    </x:row>
    <x:row r="6">
      <x:c r="A6" s="52" t="str">
        <x:v>I&amp;CAD layer 9 candidate intersections</x:v>
      </x:c>
      <x:c r="B6" s="53" t="n">
        <x:f>SUMIF('Spatial Overlap'!A2:A17,"I&amp;CAD layer 9",'Spatial Overlap'!F2:F17)</x:f>
        <x:v>264</x:v>
      </x:c>
      <x:c r="C6" s="49"/>
      <x:c r="D6" s="49"/>
      <x:c r="E6" s="49"/>
      <x:c r="F6" s="49"/>
      <x:c r="G6" s="49"/>
      <x:c r="H6" s="49"/>
      <x:c r="I6" s="49"/>
      <x:c r="J6" s="49"/>
    </x:row>
    <x:row r="7">
      <x:c r="A7" s="52" t="str">
        <x:v>Dataset candidates inventoried</x:v>
      </x:c>
      <x:c r="B7" s="53" t="n">
        <x:f>COUNTA('Dataset Inventory'!A2:A9)</x:f>
        <x:v>8</x:v>
      </x:c>
      <x:c r="C7" s="49"/>
      <x:c r="D7" s="49"/>
      <x:c r="E7" s="49"/>
      <x:c r="F7" s="49"/>
      <x:c r="G7" s="49"/>
      <x:c r="H7" s="49"/>
      <x:c r="I7" s="49"/>
      <x:c r="J7" s="49"/>
    </x:row>
    <x:row r="8">
      <x:c r="A8" s="54" t="str">
        <x:v>Open prerequisite actions</x:v>
      </x:c>
      <x:c r="B8" s="55" t="n">
        <x:f>COUNTIF('Next Actions'!D2:D10,"Open")</x:f>
        <x:v>9</x:v>
      </x:c>
      <x:c r="C8" s="49"/>
      <x:c r="D8" s="49"/>
      <x:c r="E8" s="49"/>
      <x:c r="F8" s="49"/>
      <x:c r="G8" s="49"/>
      <x:c r="H8" s="49"/>
      <x:c r="I8" s="49"/>
      <x:c r="J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</x:row>
    <x:row r="10">
      <x:c r="A10" s="7" t="str">
        <x:v>AOI evidence ranking</x:v>
      </x:c>
      <x:c r="B10" s="7" t="str">
        <x:v>Feb points</x:v>
      </x:c>
      <x:c r="C10" s="7" t="str">
        <x:v>Mar points</x:v>
      </x:c>
      <x:c r="D10" s="7" t="str">
        <x:v>Apr points</x:v>
      </x:c>
      <x:c r="E10" s="7" t="str">
        <x:v>Total</x:v>
      </x:c>
      <x:c r="F10" s="7" t="str">
        <x:v>Decision state</x:v>
      </x:c>
      <x:c r="G10" s="49"/>
      <x:c r="H10" s="49"/>
      <x:c r="I10" s="49"/>
      <x:c r="J10" s="49"/>
    </x:row>
    <x:row r="11">
      <x:c r="A11" s="65" t="str">
        <x:v>SRSP STAGE I</x:v>
      </x:c>
      <x:c r="B11" s="66" t="n">
        <x:v>84</x:v>
      </x:c>
      <x:c r="C11" s="66" t="n">
        <x:v>46</x:v>
      </x:c>
      <x:c r="D11" s="66" t="n">
        <x:v>17</x:v>
      </x:c>
      <x:c r="E11" s="66" t="n">
        <x:v>147</x:v>
      </x:c>
      <x:c r="F11" s="74" t="str">
        <x:v>Lead for review only</x:v>
      </x:c>
      <x:c r="G11" s="49"/>
      <x:c r="H11" s="49"/>
      <x:c r="I11" s="49"/>
      <x:c r="J11" s="49"/>
    </x:row>
    <x:row r="12">
      <x:c r="A12" s="68" t="str">
        <x:v>NAGARJUNA SAGAR LEFT MAIN CANAL (NSLC)</x:v>
      </x:c>
      <x:c r="B12" s="69" t="n">
        <x:v>23</x:v>
      </x:c>
      <x:c r="C12" s="69" t="n">
        <x:v>18</x:v>
      </x:c>
      <x:c r="D12" s="69" t="n">
        <x:v>3</x:v>
      </x:c>
      <x:c r="E12" s="69" t="n">
        <x:v>44</x:v>
      </x:c>
      <x:c r="F12" s="75" t="str">
        <x:v>Candidate only</x:v>
      </x:c>
      <x:c r="G12" s="49"/>
      <x:c r="H12" s="49"/>
      <x:c r="I12" s="49"/>
      <x:c r="J12" s="49"/>
    </x:row>
    <x:row r="13">
      <x:c r="A13" s="68" t="str">
        <x:v>NIZAMSAGAR PROJECT</x:v>
      </x:c>
      <x:c r="B13" s="69" t="n">
        <x:v>14</x:v>
      </x:c>
      <x:c r="C13" s="69" t="n">
        <x:v>21</x:v>
      </x:c>
      <x:c r="D13" s="69" t="n">
        <x:v>5</x:v>
      </x:c>
      <x:c r="E13" s="69" t="n">
        <x:v>40</x:v>
      </x:c>
      <x:c r="F13" s="75" t="str">
        <x:v>Candidate only</x:v>
      </x:c>
      <x:c r="G13" s="49"/>
      <x:c r="H13" s="49"/>
      <x:c r="I13" s="49"/>
      <x:c r="J13" s="49"/>
    </x:row>
    <x:row r="14">
      <x:c r="A14" s="68" t="str">
        <x:v>Srisailam Left Bank Canal Project (AMRP)</x:v>
      </x:c>
      <x:c r="B14" s="69" t="n">
        <x:v>16</x:v>
      </x:c>
      <x:c r="C14" s="69" t="n">
        <x:v>0</x:v>
      </x:c>
      <x:c r="D14" s="69" t="n">
        <x:v>0</x:v>
      </x:c>
      <x:c r="E14" s="69" t="n">
        <x:v>16</x:v>
      </x:c>
      <x:c r="F14" s="75" t="str">
        <x:v>Candidate only</x:v>
      </x:c>
      <x:c r="G14" s="49"/>
      <x:c r="H14" s="49"/>
      <x:c r="I14" s="49"/>
      <x:c r="J14" s="49"/>
    </x:row>
    <x:row r="15">
      <x:c r="A15" s="68" t="str">
        <x:v>KADDAM</x:v>
      </x:c>
      <x:c r="B15" s="69" t="n">
        <x:v>0</x:v>
      </x:c>
      <x:c r="C15" s="69" t="n">
        <x:v>7</x:v>
      </x:c>
      <x:c r="D15" s="69" t="n">
        <x:v>0</x:v>
      </x:c>
      <x:c r="E15" s="69" t="n">
        <x:v>7</x:v>
      </x:c>
      <x:c r="F15" s="75" t="str">
        <x:v>Candidate only</x:v>
      </x:c>
      <x:c r="G15" s="49"/>
      <x:c r="H15" s="49"/>
      <x:c r="I15" s="49"/>
      <x:c r="J15" s="49"/>
    </x:row>
    <x:row r="16">
      <x:c r="A16" s="68" t="str">
        <x:v>RAJOLI BANDA DIVERSION SCHEME</x:v>
      </x:c>
      <x:c r="B16" s="69" t="n">
        <x:v>0</x:v>
      </x:c>
      <x:c r="C16" s="69" t="n">
        <x:v>3</x:v>
      </x:c>
      <x:c r="D16" s="69" t="n">
        <x:v>3</x:v>
      </x:c>
      <x:c r="E16" s="69" t="n">
        <x:v>6</x:v>
      </x:c>
      <x:c r="F16" s="75" t="str">
        <x:v>Candidate only</x:v>
      </x:c>
      <x:c r="G16" s="49"/>
      <x:c r="H16" s="49"/>
      <x:c r="I16" s="49"/>
      <x:c r="J16" s="49"/>
    </x:row>
    <x:row r="17">
      <x:c r="A17" s="71" t="str">
        <x:v>PRIYADARSHINI JURALA PROJECT</x:v>
      </x:c>
      <x:c r="B17" s="72" t="n">
        <x:v>0</x:v>
      </x:c>
      <x:c r="C17" s="72" t="n">
        <x:v>1</x:v>
      </x:c>
      <x:c r="D17" s="72" t="n">
        <x:v>3</x:v>
      </x:c>
      <x:c r="E17" s="72" t="n">
        <x:v>4</x:v>
      </x:c>
      <x:c r="F17" s="76" t="str">
        <x:v>Candidate only</x:v>
      </x:c>
      <x:c r="G17" s="49"/>
      <x:c r="H17" s="49"/>
      <x:c r="I17" s="49"/>
      <x:c r="J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</x:row>
    <x:row r="20">
      <x:c r="A20" s="62" t="str">
        <x:v>Readiness decision</x:v>
      </x:c>
      <x:c r="B20" s="62"/>
      <x:c r="C20" s="62"/>
      <x:c r="D20" s="62"/>
      <x:c r="E20" s="62"/>
      <x:c r="F20" s="62"/>
      <x:c r="G20" s="62"/>
      <x:c r="H20" s="62"/>
      <x:c r="I20" s="62"/>
      <x:c r="J20" s="62"/>
    </x:row>
    <x:row r="21" ht="33" customHeight="1">
      <x:c r="A21" s="63" t="str">
        <x:v>SRSP Stage I ranks first by current point overlap (147), but it is not a selected or verified AOI. Boundary source authority, vintage, terms and ground-truth quality still need verification.</x:v>
      </x:c>
      <x:c r="B21" s="63"/>
      <x:c r="C21" s="63"/>
      <x:c r="D21" s="63"/>
      <x:c r="E21" s="63"/>
      <x:c r="F21" s="63"/>
      <x:c r="G21" s="63"/>
      <x:c r="H21" s="63"/>
      <x:c r="I21" s="63"/>
      <x:c r="J21" s="63"/>
    </x:row>
    <x:row r="22" ht="33" customHeight="1">
      <x:c r="A22" s="63" t="str">
        <x:v>Layer 18 is a 1,131,404-parcel cadastral dataset. Only 10 parcels around the source points were retrieved; it is not a command boundary.</x:v>
      </x:c>
      <x:c r="B22" s="63"/>
      <x:c r="C22" s="63"/>
      <x:c r="D22" s="63"/>
      <x:c r="E22" s="63"/>
      <x:c r="F22" s="63"/>
      <x:c r="G22" s="63"/>
      <x:c r="H22" s="63"/>
      <x:c r="I22" s="63"/>
      <x:c r="J22" s="63"/>
    </x:row>
    <x:row r="23" ht="33" customHeight="1">
      <x:c r="A23" s="63" t="str">
        <x:v>NWIC independently lists Sriramsagar Stage-I (Pochampad), but its GeoJSON has no CRS declaration and its area field differs from TGRAC; no spatial match is established.</x:v>
      </x:c>
      <x:c r="B23" s="63"/>
      <x:c r="C23" s="63"/>
      <x:c r="D23" s="63"/>
      <x:c r="E23" s="63"/>
      <x:c r="F23" s="63"/>
      <x:c r="G23" s="63"/>
      <x:c r="H23" s="63"/>
      <x:c r="I23" s="63"/>
      <x:c r="J23" s="63"/>
    </x:row>
    <x:row r="24" ht="33" customHeight="1">
      <x:c r="A24" s="63" t="str">
        <x:v>The Zindi CSV is saved and counted, but its CRS/topology/label protocol remain open. No source validates measured moisture stress or irrigation-advisory outcomes.</x:v>
      </x:c>
      <x:c r="B24" s="63"/>
      <x:c r="C24" s="63"/>
      <x:c r="D24" s="63"/>
      <x:c r="E24" s="63"/>
      <x:c r="F24" s="63"/>
      <x:c r="G24" s="63"/>
      <x:c r="H24" s="63"/>
      <x:c r="I24" s="63"/>
      <x:c r="J24" s="63"/>
    </x:row>
    <x:row r="25">
      <x:c r="A25" s="64" t="str">
        <x:v>Immediate inputs required</x:v>
      </x:c>
      <x:c r="B25" s="64"/>
      <x:c r="C25" s="64"/>
      <x:c r="D25" s="64"/>
      <x:c r="E25" s="64"/>
      <x:c r="F25" s="64"/>
      <x:c r="G25" s="49"/>
      <x:c r="H25" s="49"/>
      <x:c r="I25" s="49"/>
      <x:c r="J25" s="49"/>
    </x:row>
    <x:row r="26" ht="30" customHeight="1">
      <x:c r="A26" s="63" t="str">
        <x:v>1. Team/owner: confirm target geography and record AOI/study-period approval.</x:v>
      </x:c>
      <x:c r="B26" s="63"/>
      <x:c r="C26" s="63"/>
      <x:c r="D26" s="63"/>
      <x:c r="E26" s="63"/>
      <x:c r="F26" s="63"/>
      <x:c r="G26" s="49"/>
      <x:c r="H26" s="49"/>
      <x:c r="I26" s="49"/>
      <x:c r="J26" s="49"/>
    </x:row>
    <x:row r="27" ht="30" customHeight="1">
      <x:c r="A27" s="63" t="str">
        <x:v>2. Providers: obtain TGRAC survey/reuse details and I&amp;CAD/NWIC boundary authority, CRS and applicable reuse terms.</x:v>
      </x:c>
      <x:c r="B27" s="63"/>
      <x:c r="C27" s="63"/>
      <x:c r="D27" s="63"/>
      <x:c r="E27" s="63"/>
      <x:c r="F27" s="63"/>
      <x:c r="G27" s="49"/>
      <x:c r="H27" s="49"/>
      <x:c r="I27" s="49"/>
      <x:c r="J27" s="49"/>
    </x:row>
    <x:row r="28" ht="30" customHeight="1">
      <x:c r="A28" s="63" t="str">
        <x:v>3. Member B + WRMS/Zindi: obtain crop-health file CRS and label protocol; assess spatial/date fit and follow CC-BY-SA attribution/share-alike.</x:v>
      </x:c>
      <x:c r="B28" s="63"/>
      <x:c r="C28" s="63"/>
      <x:c r="D28" s="63"/>
      <x:c r="E28" s="63"/>
      <x:c r="F28" s="63"/>
      <x:c r="G28" s="49"/>
      <x:c r="H28" s="49"/>
      <x:c r="I28" s="49"/>
      <x:c r="J28" s="49"/>
    </x:row>
    <x:row r="29" ht="30" customHeight="1">
      <x:c r="A29" s="63" t="str">
        <x:v>4. Member B + Member A: review ICAR calendar and generic FAO-56 Kc references against selected crops/season.</x:v>
      </x:c>
      <x:c r="B29" s="63"/>
      <x:c r="C29" s="63"/>
      <x:c r="D29" s="63"/>
      <x:c r="E29" s="63"/>
      <x:c r="F29" s="63"/>
      <x:c r="G29" s="49"/>
      <x:c r="H29" s="49"/>
      <x:c r="I29" s="49"/>
      <x:c r="J29" s="49"/>
    </x:row>
    <x:row r="30" ht="30" customHeight="1">
      <x:c r="A30" s="46" t="str">
        <x:v>5. Member A: configure Earth Engine project locally; never share credentials.</x:v>
      </x:c>
      <x:c r="B30" s="46"/>
      <x:c r="C30" s="46"/>
      <x:c r="D30" s="46"/>
      <x:c r="E30" s="46"/>
      <x:c r="F30" s="46"/>
      <x:c r="G30" s="31"/>
      <x:c r="H30" s="31"/>
      <x:c r="I30" s="31"/>
      <x:c r="J30" s="31"/>
    </x:row>
    <x:row r="31" ht="30" customHeight="1">
      <x:c r="A31" s="26" t="str">
        <x:v>6. Team/field partners: supply independent moisture and irrigation-event/outcome evidence, or narrow the scientific claim.</x:v>
      </x:c>
      <x:c r="B31" s="26"/>
      <x:c r="C31" s="26"/>
      <x:c r="D31" s="26"/>
      <x:c r="E31" s="26"/>
      <x:c r="F31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55" hidden="0" customWidth="1"/>
    <x:col min="4" max="4" width="32" hidden="0" customWidth="1"/>
    <x:col min="5" max="5" width="40" hidden="0" customWidth="1"/>
    <x:col min="6" max="6" width="54" hidden="0" customWidth="1"/>
    <x:col min="7" max="7" width="48" hidden="0" customWidth="1"/>
    <x:col min="8" max="8" width="48" hidden="0" customWidth="1"/>
    <x:col min="9" max="9" width="38" hidden="0" customWidth="1"/>
    <x:col min="10" max="10" width="68" hidden="0" customWidth="1"/>
  </x:cols>
  <x:sheetData>
    <x:row r="1">
      <x:c r="A1" s="79" t="str">
        <x:v>ID</x:v>
      </x:c>
      <x:c r="B1" s="79" t="str">
        <x:v>Dataset / source</x:v>
      </x:c>
      <x:c r="C1" s="79" t="str">
        <x:v>Source URL</x:v>
      </x:c>
      <x:c r="D1" s="79" t="str">
        <x:v>Geometry / CRS</x:v>
      </x:c>
      <x:c r="E1" s="79" t="str">
        <x:v>Dates / season</x:v>
      </x:c>
      <x:c r="F1" s="79" t="str">
        <x:v>Known attributes / evidence</x:v>
      </x:c>
      <x:c r="G1" s="79" t="str">
        <x:v>Potential use</x:v>
      </x:c>
      <x:c r="H1" s="79" t="str">
        <x:v>Licence / reuse</x:v>
      </x:c>
      <x:c r="I1" s="79" t="str">
        <x:v>Status</x:v>
      </x:c>
      <x:c r="J1" s="79" t="str">
        <x:v>Evidence / caveat</x:v>
      </x:c>
    </x:row>
    <x:row r="2" ht="78" customHeight="1">
      <x:c r="A2" s="82" t="str">
        <x:v>GT-TGRAC-2023</x:v>
      </x:c>
      <x:c r="B2" s="82" t="str">
        <x:v>TGRAC Agriculture2 Crop Analysis — Ground Truth Rabi 2023 (layers 10, 11, 12)</x:v>
      </x:c>
      <x:c r="C2" s="82" t="str">
        <x:v>https://tgrac.telangana.gov.in/arcgis/rest/services/Agri2/Agriculture2_CropAnalysis_Layers/MapServer</x:v>
      </x:c>
      <x:c r="D2" s="82" t="str">
        <x:v>Point / EPSG:4326</x:v>
      </x:c>
      <x:c r="E2" s="82" t="str">
        <x:v>Feb–Apr 2023; month-layer dates; field-observation date unconfirmed</x:v>
      </x:c>
      <x:c r="F2" s="82" t="str">
        <x:v>2,446 records. crop, cropvar, typeirrigation, stagecrop, conditioncrop, district/mandal/village, CreationDate</x:v>
      </x:c>
      <x:c r="G2" s="82" t="str">
        <x:v>Candidate crop-classification labels; not measured moisture stress or advisory outcomes</x:v>
      </x:c>
      <x:c r="H2" s="82" t="str">
        <x:v>No clear service licence; obtain custodian terms and attribution</x:v>
      </x:c>
      <x:c r="I2" s="82" t="str">
        <x:v>Retrieved; use rights and quality open</x:v>
      </x:c>
      <x:c r="J2" s="82" t="str">
        <x:v>Complete source JSON: data/audits/tgrac/data/february_2023.json; march_2023.json; april_2023.json. Crop labels and date semantics need provider validation.</x:v>
      </x:c>
    </x:row>
    <x:row r="3" ht="78" customHeight="1">
      <x:c r="A3" s="82" t="str">
        <x:v>GT-WRMS-ADEX-2022-24</x:v>
      </x:c>
      <x:c r="B3" s="82" t="str">
        <x:v>WRMS ground truth via Telangana ADeX / FAIR Forward; public Zindi mirror</x:v>
      </x:c>
      <x:c r="C3" s="82" t="str">
        <x:v>https://dataexplorer.ts.adex.org.in/dataset/583e8f01-160e-4f51-bde5-31dc7f2a5887; mirror: https://github.com/pranavmyname/zindi_crop_health</x:v>
      </x:c>
      <x:c r="D3" s="82" t="str">
        <x:v>7,888 WKT polygons; source CRS undeclared; no coordinate inference</x:v>
      </x:c>
      <x:c r="E3" s="82" t="str">
        <x:v>Catalogue reports crop cycles 2022–2024</x:v>
      </x:c>
      <x:c r="F3" s="82" t="str">
        <x:v>7,888 rows/20 columns; no nulls/duplicate FarmIDs; categories, crops and seasons in docs/data_audit/crop_catalogue_and_labels.md</x:v>
      </x:c>
      <x:c r="G3" s="82" t="str">
        <x:v>Candidate crop-health labels; not measured moisture stress</x:v>
      </x:c>
      <x:c r="H3" s="82" t="str">
        <x:v>FAIR describes CC BY 4.0; linked Zindi rules permit challenge-data use/share under CC-BY-SA 4.0; preserve attribution/share-alike</x:v>
      </x:c>
      <x:c r="I3" s="82" t="str">
        <x:v>CSV saved under ignored data/audits/external/; SHA-256 recorded in source inventory</x:v>
      </x:c>
      <x:c r="J3" s="82" t="str">
        <x:v>Basic exterior-ring closure/length checks pass; CRS, topology, label protocol, AOI overlap and pixel/date matching remain unresolved. ADeX ID returns 404.</x:v>
      </x:c>
    </x:row>
    <x:row r="4" ht="78" customHeight="1">
      <x:c r="A4" s="82" t="str">
        <x:v>GT-TG-RABI-2016-19</x:v>
      </x:c>
      <x:c r="B4" s="82" t="str">
        <x:v>DataSuds Telangana Rabi field-survey vectors</x:v>
      </x:c>
      <x:c r="C4" s="82" t="str">
        <x:v>https://doi.org/10.23708/dab0b558-ef5f-4df1-ba7c-714dff15b6ec</x:v>
      </x:c>
      <x:c r="D4" s="82" t="str">
        <x:v>Article describes field polygons; actual file CRS and extent unverified</x:v>
      </x:c>
      <x:c r="E4" s="82" t="str">
        <x:v>March surveys, 2016–2019</x:v>
      </x:c>
      <x:c r="F4" s="82" t="str">
        <x:v>Article describes rice and other crop/land-cover labels; class provenance varies</x:v>
      </x:c>
      <x:c r="G4" s="82" t="str">
        <x:v>Historical crop classification reference if coordinates, source classes and overlap pass inspection</x:v>
      </x:c>
      <x:c r="H4" s="82" t="str">
        <x:v>Data-record licence not verified; article licence is not assumed to cover data</x:v>
      </x:c>
      <x:c r="I4" s="82" t="str">
        <x:v>Candidate; record URL redirected to IRD maintenance page on 2026-10-24</x:v>
      </x:c>
      <x:c r="J4" s="82" t="str">
        <x:v>No original vector file acquired; actual spatial overlap unknown.</x:v>
      </x:c>
    </x:row>
    <x:row r="5" ht="78" customHeight="1">
      <x:c r="A5" s="82" t="str">
        <x:v>GT-TG-RICE-RASTERS-2016-19</x:v>
      </x:c>
      <x:c r="B5" s="82" t="str">
        <x:v>DataSuds seasonal rice-frequency rasters</x:v>
      </x:c>
      <x:c r="C5" s="82" t="str">
        <x:v>https://doi.org/10.23708/1f7bb3d2-4223-4e1d-a39d-7e432bcbbb34</x:v>
      </x:c>
      <x:c r="D5" s="82" t="str">
        <x:v>Article describes 10 m GeoTIFF; actual CRS/grid unverified</x:v>
      </x:c>
      <x:c r="E5" s="82" t="str">
        <x:v>Rabi 2016–2019</x:v>
      </x:c>
      <x:c r="F5" s="82" t="str">
        <x:v>Values described as number of eight RF runs mapping rice (0–8)</x:v>
      </x:c>
      <x:c r="G5" s="82" t="str">
        <x:v>Rice extent context only; derived product, not independent field labels or stress ground truth</x:v>
      </x:c>
      <x:c r="H5" s="82" t="str">
        <x:v>Data-record licence not verified</x:v>
      </x:c>
      <x:c r="I5" s="82" t="str">
        <x:v>Candidate; record URL redirected to IRD maintenance page on 2026-10-24</x:v>
      </x:c>
      <x:c r="J5" s="82" t="str">
        <x:v>No original raster acquired; associated article: https://pmc.ncbi.nlm.nih.gov/articles/PMC12396292/</x:v>
      </x:c>
    </x:row>
    <x:row r="6" ht="78" customHeight="1">
      <x:c r="A6" s="82" t="str">
        <x:v>IRR-TGRAC-L18</x:v>
      </x:c>
      <x:c r="B6" s="82" t="str">
        <x:v>TGRAC Agriculture2 Crop Analysis — Irrigation Projects layer 18</x:v>
      </x:c>
      <x:c r="C6" s="82" t="str">
        <x:v>https://tgrac.telangana.gov.in/arcgis/rest/services/Agri2/Agriculture2_CropAnalysis_Layers/MapServer/18</x:v>
      </x:c>
      <x:c r="D6" s="82" t="str">
        <x:v>Polygon / EPSG:4326</x:v>
      </x:c>
      <x:c r="E6" s="82" t="str">
        <x:v>Layer version/date not established</x:v>
      </x:c>
      <x:c r="F6" s="82" t="str">
        <x:v>Service total 1,131,404; 10 local parcel polygons returned around ground-truth points; cadastral/irrigation hierarchy fields</x:v>
      </x:c>
      <x:c r="G6" s="82" t="str">
        <x:v>Parcel-context join only; not a verified command boundary</x:v>
      </x:c>
      <x:c r="H6" s="82" t="str">
        <x:v>No clear service licence found</x:v>
      </x:c>
      <x:c r="I6" s="82" t="str">
        <x:v>Retrieved point-filtered subset; not AOI boundary</x:v>
      </x:c>
      <x:c r="J6" s="82" t="str">
        <x:v>Fresh spatial summary finds 12 point-to-parcel matches in February; 10 selected parcels are stored in ignored audit data.</x:v>
      </x:c>
    </x:row>
    <x:row r="7" ht="78" customHeight="1">
      <x:c r="A7" s="82" t="str">
        <x:v>IRR-TGRAC-ICAD-L9-10</x:v>
      </x:c>
      <x:c r="B7" s="82" t="str">
        <x:v>TGRAC I&amp;CAD Command_Boundary layers 9 and 10</x:v>
      </x:c>
      <x:c r="C7" s="82" t="str">
        <x:v>https://tgrac.telangana.gov.in/arcgis/rest/services/IandCAD_Folder/I_and_CAD/MapServer</x:v>
      </x:c>
      <x:c r="D7" s="82" t="str">
        <x:v>Polygon / EPSG:4326</x:v>
      </x:c>
      <x:c r="E7" s="82" t="str">
        <x:v>Layer vintage/date not established</x:v>
      </x:c>
      <x:c r="F7" s="82" t="str">
        <x:v>Seven named polygons per layer; layer 9 and 10 geometries are coordinate-identical</x:v>
      </x:c>
      <x:c r="G7" s="82" t="str">
        <x:v>Candidate command overlap screening; authority and topology need confirmation</x:v>
      </x:c>
      <x:c r="H7" s="82" t="str">
        <x:v>No clear service licence found</x:v>
      </x:c>
      <x:c r="I7" s="82" t="str">
        <x:v>Retrieved candidate geometries; authority/reuse unresolved</x:v>
      </x:c>
      <x:c r="J7" s="82" t="str">
        <x:v>Fresh overlap: 264 point intersections; SRSP Stage I leads with 147. No AOI selected.</x:v>
      </x:c>
    </x:row>
    <x:row r="8" ht="78" customHeight="1">
      <x:c r="A8" s="82" t="str">
        <x:v>IRR-CWC-NWIC</x:v>
      </x:c>
      <x:c r="B8" s="82" t="str">
        <x:v>CWC / NWIC national Command_Area_GeoJSON</x:v>
      </x:c>
      <x:c r="C8" s="82" t="str">
        <x:v>https://nwdp.nwic.gov.in/en/dataset/water-resource-project/resource/7b1e0abf-ca24-46d2-b0dc-7234021e414d</x:v>
      </x:c>
      <x:c r="D8" s="82" t="str">
        <x:v>GeoJSON; projected coordinate values but source CRS not declared</x:v>
      </x:c>
      <x:c r="E8" s="82" t="str">
        <x:v>Resource last updated 2025-11-17</x:v>
      </x:c>
      <x:c r="F8" s="82" t="str">
        <x:v>1,448 features, including 63 Telangana; named Sriramsagar Stage-I (Pochampad), beneficiary districts Nizamabad/Karimnagar/Warangal/Adilabad; area_ha 880,121.94</x:v>
      </x:c>
      <x:c r="G8" s="82" t="str">
        <x:v>Independent project-name corroboration; not a geometrically verified boundary</x:v>
      </x:c>
      <x:c r="H8" s="82" t="str">
        <x:v>Portal says Other (Open) without specific licence text; obtain terms/attribution</x:v>
      </x:c>
      <x:c r="I8" s="82" t="str">
        <x:v>Full file locally parsed in ignored audit storage</x:v>
      </x:c>
      <x:c r="J8" s="82" t="str">
        <x:v>NWIC area differs from TGRAC 433,249 Ayacut_ha; meanings unreconciled. No CRS means no overlay or AOI selection.</x:v>
      </x:c>
    </x:row>
    <x:row r="9" ht="78" customHeight="1">
      <x:c r="A9" s="82" t="str">
        <x:v>IMG-GEE-S1-S2-ERA5</x:v>
      </x:c>
      <x:c r="B9" s="82" t="str">
        <x:v>Sentinel-1, Sentinel-2 and ERA5-Land via Google Earth Engine</x:v>
      </x:c>
      <x:c r="C9" s="82" t="str">
        <x:v>https://developers.google.com/earth-engine/datasets</x:v>
      </x:c>
      <x:c r="D9" s="82" t="str">
        <x:v>Collections are gridded imagery/reanalysis; region/grid must be verified</x:v>
      </x:c>
      <x:c r="E9" s="82" t="str">
        <x:v>Date ranges depend on approved study period</x:v>
      </x:c>
      <x:c r="F9" s="82" t="str">
        <x:v>S1/S2 image bands; ERA5-Land meteorological variables</x:v>
      </x:c>
      <x:c r="G9" s="82" t="str">
        <x:v>Candidate feature/weather inputs; catalog access is not evidence of usable AOI pixels</x:v>
      </x:c>
      <x:c r="H9" s="82" t="str">
        <x:v>Check each catalog collection's attribution and terms</x:v>
      </x:c>
      <x:c r="I9" s="82" t="str">
        <x:v>Not authenticated; local EE API and CLI absent</x:v>
      </x:c>
      <x:c r="J9" s="82" t="str">
        <x:v>Complete steps and a three-collection verification script are in docs/GEE_SETUP.md.</x:v>
      </x:c>
    </x:row>
  </x:sheetData>
  <x:pageMargins left="0.7" right="0.7" top="0.75" bottom="0.75" header="0.3" footer="0.3"/>
  <x:tableParts count="1">
    <x:tablePart xmlns:r="http://schemas.openxmlformats.org/officeDocument/2006/relationships" r:id="R640dc325052a45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</x:cols>
  <x:sheetData>
    <x:row r="1">
      <x:c r="A1" s="7" t="str">
        <x:v>Month</x:v>
      </x:c>
      <x:c r="B1" s="7" t="str">
        <x:v>Crop label (source field)</x:v>
      </x:c>
      <x:c r="C1" s="7" t="str">
        <x:v>Count (points)</x:v>
      </x:c>
    </x:row>
    <x:row r="2">
      <x:c r="A2" s="31" t="str">
        <x:v>February</x:v>
      </x:c>
      <x:c r="B2" s="31" t="str">
        <x:v>bengalgram</x:v>
      </x:c>
      <x:c r="C2" s="83" t="n">
        <x:v>4</x:v>
      </x:c>
    </x:row>
    <x:row r="3">
      <x:c r="A3" s="31" t="str">
        <x:v>February</x:v>
      </x:c>
      <x:c r="B3" s="31" t="str">
        <x:v>blackgram</x:v>
      </x:c>
      <x:c r="C3" s="83" t="n">
        <x:v>7</x:v>
      </x:c>
    </x:row>
    <x:row r="4">
      <x:c r="A4" s="31" t="str">
        <x:v>February</x:v>
      </x:c>
      <x:c r="B4" s="31" t="str">
        <x:v>castor</x:v>
      </x:c>
      <x:c r="C4" s="83" t="n">
        <x:v>5</x:v>
      </x:c>
    </x:row>
    <x:row r="5">
      <x:c r="A5" s="31" t="str">
        <x:v>February</x:v>
      </x:c>
      <x:c r="B5" s="31" t="str">
        <x:v>chillies</x:v>
      </x:c>
      <x:c r="C5" s="83" t="n">
        <x:v>127</x:v>
      </x:c>
    </x:row>
    <x:row r="6">
      <x:c r="A6" s="31" t="str">
        <x:v>February</x:v>
      </x:c>
      <x:c r="B6" s="31" t="str">
        <x:v>cotton</x:v>
      </x:c>
      <x:c r="C6" s="83" t="n">
        <x:v>130</x:v>
      </x:c>
    </x:row>
    <x:row r="7">
      <x:c r="A7" s="31" t="str">
        <x:v>February</x:v>
      </x:c>
      <x:c r="B7" s="31" t="str">
        <x:v>groundnut</x:v>
      </x:c>
      <x:c r="C7" s="83" t="n">
        <x:v>10</x:v>
      </x:c>
    </x:row>
    <x:row r="8">
      <x:c r="A8" s="31" t="str">
        <x:v>February</x:v>
      </x:c>
      <x:c r="B8" s="31" t="str">
        <x:v>jowar</x:v>
      </x:c>
      <x:c r="C8" s="83" t="n">
        <x:v>9</x:v>
      </x:c>
    </x:row>
    <x:row r="9">
      <x:c r="A9" s="31" t="str">
        <x:v>February</x:v>
      </x:c>
      <x:c r="B9" s="31" t="str">
        <x:v>maize</x:v>
      </x:c>
      <x:c r="C9" s="83" t="n">
        <x:v>154</x:v>
      </x:c>
    </x:row>
    <x:row r="10">
      <x:c r="A10" s="31" t="str">
        <x:v>February</x:v>
      </x:c>
      <x:c r="B10" s="31" t="str">
        <x:v>mango</x:v>
      </x:c>
      <x:c r="C10" s="83" t="n">
        <x:v>38</x:v>
      </x:c>
    </x:row>
    <x:row r="11">
      <x:c r="A11" s="31" t="str">
        <x:v>February</x:v>
      </x:c>
      <x:c r="B11" s="31" t="str">
        <x:v>others</x:v>
      </x:c>
      <x:c r="C11" s="83" t="n">
        <x:v>66</x:v>
      </x:c>
    </x:row>
    <x:row r="12">
      <x:c r="A12" s="31" t="str">
        <x:v>February</x:v>
      </x:c>
      <x:c r="B12" s="31" t="str">
        <x:v>paddy</x:v>
      </x:c>
      <x:c r="C12" s="83" t="n">
        <x:v>846</x:v>
      </x:c>
    </x:row>
    <x:row r="13">
      <x:c r="A13" s="31" t="str">
        <x:v>February</x:v>
      </x:c>
      <x:c r="B13" s="31" t="str">
        <x:v>redgram</x:v>
      </x:c>
      <x:c r="C13" s="83" t="n">
        <x:v>1</x:v>
      </x:c>
    </x:row>
    <x:row r="14">
      <x:c r="A14" s="31" t="str">
        <x:v>March</x:v>
      </x:c>
      <x:c r="B14" s="31" t="str">
        <x:v>bengalgram</x:v>
      </x:c>
      <x:c r="C14" s="83" t="n">
        <x:v>4</x:v>
      </x:c>
    </x:row>
    <x:row r="15">
      <x:c r="A15" s="31" t="str">
        <x:v>March</x:v>
      </x:c>
      <x:c r="B15" s="31" t="str">
        <x:v>blackgram</x:v>
      </x:c>
      <x:c r="C15" s="83" t="n">
        <x:v>2</x:v>
      </x:c>
    </x:row>
    <x:row r="16">
      <x:c r="A16" s="31" t="str">
        <x:v>March</x:v>
      </x:c>
      <x:c r="B16" s="31" t="str">
        <x:v>castor</x:v>
      </x:c>
      <x:c r="C16" s="83" t="n">
        <x:v>3</x:v>
      </x:c>
    </x:row>
    <x:row r="17">
      <x:c r="A17" s="31" t="str">
        <x:v>March</x:v>
      </x:c>
      <x:c r="B17" s="31" t="str">
        <x:v>chillies</x:v>
      </x:c>
      <x:c r="C17" s="83" t="n">
        <x:v>52</x:v>
      </x:c>
    </x:row>
    <x:row r="18">
      <x:c r="A18" s="31" t="str">
        <x:v>March</x:v>
      </x:c>
      <x:c r="B18" s="31" t="str">
        <x:v>cotton</x:v>
      </x:c>
      <x:c r="C18" s="83" t="n">
        <x:v>8</x:v>
      </x:c>
    </x:row>
    <x:row r="19">
      <x:c r="A19" s="31" t="str">
        <x:v>March</x:v>
      </x:c>
      <x:c r="B19" s="31" t="str">
        <x:v>groundnut</x:v>
      </x:c>
      <x:c r="C19" s="83" t="n">
        <x:v>4</x:v>
      </x:c>
    </x:row>
    <x:row r="20">
      <x:c r="A20" s="31" t="str">
        <x:v>March</x:v>
      </x:c>
      <x:c r="B20" s="31" t="str">
        <x:v>jowar</x:v>
      </x:c>
      <x:c r="C20" s="83" t="n">
        <x:v>8</x:v>
      </x:c>
    </x:row>
    <x:row r="21">
      <x:c r="A21" s="31" t="str">
        <x:v>March</x:v>
      </x:c>
      <x:c r="B21" s="31" t="str">
        <x:v>maize</x:v>
      </x:c>
      <x:c r="C21" s="83" t="n">
        <x:v>65</x:v>
      </x:c>
    </x:row>
    <x:row r="22">
      <x:c r="A22" s="31" t="str">
        <x:v>March</x:v>
      </x:c>
      <x:c r="B22" s="31" t="str">
        <x:v>mango</x:v>
      </x:c>
      <x:c r="C22" s="83" t="n">
        <x:v>46</x:v>
      </x:c>
    </x:row>
    <x:row r="23">
      <x:c r="A23" s="31" t="str">
        <x:v>March</x:v>
      </x:c>
      <x:c r="B23" s="31" t="str">
        <x:v>mixedcrop</x:v>
      </x:c>
      <x:c r="C23" s="83" t="n">
        <x:v>6</x:v>
      </x:c>
    </x:row>
    <x:row r="24">
      <x:c r="A24" s="31" t="str">
        <x:v>March</x:v>
      </x:c>
      <x:c r="B24" s="31" t="str">
        <x:v>others</x:v>
      </x:c>
      <x:c r="C24" s="83" t="n">
        <x:v>31</x:v>
      </x:c>
    </x:row>
    <x:row r="25">
      <x:c r="A25" s="31" t="str">
        <x:v>March</x:v>
      </x:c>
      <x:c r="B25" s="31" t="str">
        <x:v>paddy</x:v>
      </x:c>
      <x:c r="C25" s="83" t="n">
        <x:v>413</x:v>
      </x:c>
    </x:row>
    <x:row r="26">
      <x:c r="A26" s="31" t="str">
        <x:v>March</x:v>
      </x:c>
      <x:c r="B26" s="31" t="str">
        <x:v>plantation</x:v>
      </x:c>
      <x:c r="C26" s="83" t="n">
        <x:v>19</x:v>
      </x:c>
    </x:row>
    <x:row r="27">
      <x:c r="A27" s="31" t="str">
        <x:v>March</x:v>
      </x:c>
      <x:c r="B27" s="31" t="str">
        <x:v>redgram</x:v>
      </x:c>
      <x:c r="C27" s="83" t="n">
        <x:v>1</x:v>
      </x:c>
    </x:row>
    <x:row r="28">
      <x:c r="A28" s="31" t="str">
        <x:v>April</x:v>
      </x:c>
      <x:c r="B28" s="31" t="str">
        <x:v>chillies</x:v>
      </x:c>
      <x:c r="C28" s="83" t="n">
        <x:v>138</x:v>
      </x:c>
    </x:row>
    <x:row r="29">
      <x:c r="A29" s="31" t="str">
        <x:v>April</x:v>
      </x:c>
      <x:c r="B29" s="31" t="str">
        <x:v>cotton</x:v>
      </x:c>
      <x:c r="C29" s="83" t="n">
        <x:v>2</x:v>
      </x:c>
    </x:row>
    <x:row r="30">
      <x:c r="A30" s="31" t="str">
        <x:v>April</x:v>
      </x:c>
      <x:c r="B30" s="31" t="str">
        <x:v>jowar</x:v>
      </x:c>
      <x:c r="C30" s="83" t="n">
        <x:v>4</x:v>
      </x:c>
    </x:row>
    <x:row r="31">
      <x:c r="A31" s="31" t="str">
        <x:v>April</x:v>
      </x:c>
      <x:c r="B31" s="31" t="str">
        <x:v>maize</x:v>
      </x:c>
      <x:c r="C31" s="83" t="n">
        <x:v>22</x:v>
      </x:c>
    </x:row>
    <x:row r="32">
      <x:c r="A32" s="31" t="str">
        <x:v>April</x:v>
      </x:c>
      <x:c r="B32" s="31" t="str">
        <x:v>mango</x:v>
      </x:c>
      <x:c r="C32" s="83" t="n">
        <x:v>9</x:v>
      </x:c>
    </x:row>
    <x:row r="33">
      <x:c r="A33" s="31" t="str">
        <x:v>April</x:v>
      </x:c>
      <x:c r="B33" s="31" t="str">
        <x:v>mixedcrop</x:v>
      </x:c>
      <x:c r="C33" s="83" t="n">
        <x:v>2</x:v>
      </x:c>
    </x:row>
    <x:row r="34">
      <x:c r="A34" s="31" t="str">
        <x:v>April</x:v>
      </x:c>
      <x:c r="B34" s="31" t="str">
        <x:v>others</x:v>
      </x:c>
      <x:c r="C34" s="83" t="n">
        <x:v>20</x:v>
      </x:c>
    </x:row>
    <x:row r="35">
      <x:c r="A35" s="31" t="str">
        <x:v>April</x:v>
      </x:c>
      <x:c r="B35" s="31" t="str">
        <x:v>paddy</x:v>
      </x:c>
      <x:c r="C35" s="83" t="n">
        <x:v>188</x:v>
      </x:c>
    </x:row>
    <x:row r="36">
      <x:c r="A36" s="31" t="str">
        <x:v>April</x:v>
      </x:c>
      <x:c r="B36" s="31" t="str">
        <x:v>plantation</x:v>
      </x:c>
      <x:c r="C36" s="8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57e0ec227b649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3" hidden="0" customWidth="1"/>
    <x:col min="8" max="8" width="23" hidden="0" customWidth="1"/>
  </x:cols>
  <x:sheetData>
    <x:row r="1">
      <x:c r="A1" s="79" t="str">
        <x:v>Boundary source</x:v>
      </x:c>
      <x:c r="B1" s="79" t="str">
        <x:v>Candidate label</x:v>
      </x:c>
      <x:c r="C1" s="79" t="str">
        <x:v>February</x:v>
      </x:c>
      <x:c r="D1" s="79" t="str">
        <x:v>March</x:v>
      </x:c>
      <x:c r="E1" s="79" t="str">
        <x:v>April</x:v>
      </x:c>
      <x:c r="F1" s="79" t="str">
        <x:v>Total</x:v>
      </x:c>
      <x:c r="G1" s="79" t="str">
        <x:v>% of all monthly points</x:v>
      </x:c>
      <x:c r="H1" s="79" t="str">
        <x:v>Authority verified?</x:v>
      </x:c>
    </x:row>
    <x:row r="2" ht="30" customHeight="1">
      <x:c r="A2" s="80" t="str">
        <x:v>I&amp;CAD layer 9</x:v>
      </x:c>
      <x:c r="B2" s="81" t="str">
        <x:v>SRSP STAGE I</x:v>
      </x:c>
      <x:c r="C2" s="84" t="n">
        <x:v>84</x:v>
      </x:c>
      <x:c r="D2" s="84" t="n">
        <x:v>46</x:v>
      </x:c>
      <x:c r="E2" s="84" t="n">
        <x:v>17</x:v>
      </x:c>
      <x:c r="F2" s="84" t="n">
        <x:v>147</x:v>
      </x:c>
      <x:c r="G2" s="85" t="n">
        <x:v>0.06009811937857727</x:v>
      </x:c>
      <x:c r="H2" s="86" t="str">
        <x:v>No</x:v>
      </x:c>
    </x:row>
    <x:row r="3" ht="30" customHeight="1">
      <x:c r="A3" s="80" t="str">
        <x:v>I&amp;CAD layer 9</x:v>
      </x:c>
      <x:c r="B3" s="81" t="str">
        <x:v>NAGARJUNA SAGAR LEFT MAIN CANAL (NSLC)</x:v>
      </x:c>
      <x:c r="C3" s="84" t="n">
        <x:v>23</x:v>
      </x:c>
      <x:c r="D3" s="84" t="n">
        <x:v>18</x:v>
      </x:c>
      <x:c r="E3" s="84" t="n">
        <x:v>3</x:v>
      </x:c>
      <x:c r="F3" s="84" t="n">
        <x:v>44</x:v>
      </x:c>
      <x:c r="G3" s="85" t="n">
        <x:v>0.017988552739165987</x:v>
      </x:c>
      <x:c r="H3" s="86" t="str">
        <x:v>No</x:v>
      </x:c>
    </x:row>
    <x:row r="4" ht="30" customHeight="1">
      <x:c r="A4" s="80" t="str">
        <x:v>I&amp;CAD layer 9</x:v>
      </x:c>
      <x:c r="B4" s="81" t="str">
        <x:v>NIZAMSAGAR PROJECT</x:v>
      </x:c>
      <x:c r="C4" s="84" t="n">
        <x:v>14</x:v>
      </x:c>
      <x:c r="D4" s="84" t="n">
        <x:v>21</x:v>
      </x:c>
      <x:c r="E4" s="84" t="n">
        <x:v>5</x:v>
      </x:c>
      <x:c r="F4" s="84" t="n">
        <x:v>40</x:v>
      </x:c>
      <x:c r="G4" s="85" t="n">
        <x:v>0.016353229762878167</x:v>
      </x:c>
      <x:c r="H4" s="86" t="str">
        <x:v>No</x:v>
      </x:c>
    </x:row>
    <x:row r="5" ht="30" customHeight="1">
      <x:c r="A5" s="80" t="str">
        <x:v>I&amp;CAD layer 9</x:v>
      </x:c>
      <x:c r="B5" s="81" t="str">
        <x:v>Srisailam Left Bank Canal Project (AMRP)</x:v>
      </x:c>
      <x:c r="C5" s="84" t="n">
        <x:v>16</x:v>
      </x:c>
      <x:c r="D5" s="84" t="n">
        <x:v>0</x:v>
      </x:c>
      <x:c r="E5" s="84" t="n">
        <x:v>0</x:v>
      </x:c>
      <x:c r="F5" s="84" t="n">
        <x:v>16</x:v>
      </x:c>
      <x:c r="G5" s="85" t="n">
        <x:v>0.006541291905151268</x:v>
      </x:c>
      <x:c r="H5" s="86" t="str">
        <x:v>No</x:v>
      </x:c>
    </x:row>
    <x:row r="6" ht="30" customHeight="1">
      <x:c r="A6" s="80" t="str">
        <x:v>I&amp;CAD layer 9</x:v>
      </x:c>
      <x:c r="B6" s="81" t="str">
        <x:v>KADDAM</x:v>
      </x:c>
      <x:c r="C6" s="84" t="n">
        <x:v>0</x:v>
      </x:c>
      <x:c r="D6" s="84" t="n">
        <x:v>7</x:v>
      </x:c>
      <x:c r="E6" s="84" t="n">
        <x:v>0</x:v>
      </x:c>
      <x:c r="F6" s="84" t="n">
        <x:v>7</x:v>
      </x:c>
      <x:c r="G6" s="85" t="n">
        <x:v>0.0028618152085036794</x:v>
      </x:c>
      <x:c r="H6" s="86" t="str">
        <x:v>No</x:v>
      </x:c>
    </x:row>
    <x:row r="7" ht="30" customHeight="1">
      <x:c r="A7" s="80" t="str">
        <x:v>I&amp;CAD layer 9</x:v>
      </x:c>
      <x:c r="B7" s="81" t="str">
        <x:v>RAJOLI BANDA DIVERSION SCHEME</x:v>
      </x:c>
      <x:c r="C7" s="84" t="n">
        <x:v>0</x:v>
      </x:c>
      <x:c r="D7" s="84" t="n">
        <x:v>3</x:v>
      </x:c>
      <x:c r="E7" s="84" t="n">
        <x:v>3</x:v>
      </x:c>
      <x:c r="F7" s="84" t="n">
        <x:v>6</x:v>
      </x:c>
      <x:c r="G7" s="85" t="n">
        <x:v>0.0024529844644317253</x:v>
      </x:c>
      <x:c r="H7" s="86" t="str">
        <x:v>No</x:v>
      </x:c>
    </x:row>
    <x:row r="8" ht="30" customHeight="1">
      <x:c r="A8" s="80" t="str">
        <x:v>I&amp;CAD layer 9</x:v>
      </x:c>
      <x:c r="B8" s="81" t="str">
        <x:v>PRIYADARSHINI JURALA PROJECT</x:v>
      </x:c>
      <x:c r="C8" s="84" t="n">
        <x:v>0</x:v>
      </x:c>
      <x:c r="D8" s="84" t="n">
        <x:v>1</x:v>
      </x:c>
      <x:c r="E8" s="84" t="n">
        <x:v>3</x:v>
      </x:c>
      <x:c r="F8" s="84" t="n">
        <x:v>4</x:v>
      </x:c>
      <x:c r="G8" s="85" t="n">
        <x:v>0.001635322976287817</x:v>
      </x:c>
      <x:c r="H8" s="86" t="str">
        <x:v>No</x:v>
      </x:c>
    </x:row>
    <x:row r="9" ht="30" customHeight="1">
      <x:c r="A9" s="80" t="str">
        <x:v>I&amp;CAD layer 10</x:v>
      </x:c>
      <x:c r="B9" s="81" t="str">
        <x:v>SRSP STAGE I</x:v>
      </x:c>
      <x:c r="C9" s="84" t="n">
        <x:v>84</x:v>
      </x:c>
      <x:c r="D9" s="84" t="n">
        <x:v>46</x:v>
      </x:c>
      <x:c r="E9" s="84" t="n">
        <x:v>17</x:v>
      </x:c>
      <x:c r="F9" s="84" t="n">
        <x:v>147</x:v>
      </x:c>
      <x:c r="G9" s="85" t="n">
        <x:v>0.06009811937857727</x:v>
      </x:c>
      <x:c r="H9" s="86" t="str">
        <x:v>No</x:v>
      </x:c>
    </x:row>
    <x:row r="10" ht="30" customHeight="1">
      <x:c r="A10" s="80" t="str">
        <x:v>I&amp;CAD layer 10</x:v>
      </x:c>
      <x:c r="B10" s="81" t="str">
        <x:v>NAGARJUNA SAGAR LEFT MAIN CANAL (NSLC)</x:v>
      </x:c>
      <x:c r="C10" s="84" t="n">
        <x:v>23</x:v>
      </x:c>
      <x:c r="D10" s="84" t="n">
        <x:v>18</x:v>
      </x:c>
      <x:c r="E10" s="84" t="n">
        <x:v>3</x:v>
      </x:c>
      <x:c r="F10" s="84" t="n">
        <x:v>44</x:v>
      </x:c>
      <x:c r="G10" s="85" t="n">
        <x:v>0.017988552739165987</x:v>
      </x:c>
      <x:c r="H10" s="86" t="str">
        <x:v>No</x:v>
      </x:c>
    </x:row>
    <x:row r="11" ht="30" customHeight="1">
      <x:c r="A11" s="80" t="str">
        <x:v>I&amp;CAD layer 10</x:v>
      </x:c>
      <x:c r="B11" s="81" t="str">
        <x:v>NIZAMSAGAR PROJECT</x:v>
      </x:c>
      <x:c r="C11" s="84" t="n">
        <x:v>14</x:v>
      </x:c>
      <x:c r="D11" s="84" t="n">
        <x:v>21</x:v>
      </x:c>
      <x:c r="E11" s="84" t="n">
        <x:v>5</x:v>
      </x:c>
      <x:c r="F11" s="84" t="n">
        <x:v>40</x:v>
      </x:c>
      <x:c r="G11" s="85" t="n">
        <x:v>0.016353229762878167</x:v>
      </x:c>
      <x:c r="H11" s="86" t="str">
        <x:v>No</x:v>
      </x:c>
    </x:row>
    <x:row r="12" ht="30" customHeight="1">
      <x:c r="A12" s="80" t="str">
        <x:v>I&amp;CAD layer 10</x:v>
      </x:c>
      <x:c r="B12" s="81" t="str">
        <x:v>Srisailam Left Bank Canal Project (AMRP)</x:v>
      </x:c>
      <x:c r="C12" s="84" t="n">
        <x:v>16</x:v>
      </x:c>
      <x:c r="D12" s="84" t="n">
        <x:v>0</x:v>
      </x:c>
      <x:c r="E12" s="84" t="n">
        <x:v>0</x:v>
      </x:c>
      <x:c r="F12" s="84" t="n">
        <x:v>16</x:v>
      </x:c>
      <x:c r="G12" s="85" t="n">
        <x:v>0.006541291905151268</x:v>
      </x:c>
      <x:c r="H12" s="86" t="str">
        <x:v>No</x:v>
      </x:c>
    </x:row>
    <x:row r="13" ht="30" customHeight="1">
      <x:c r="A13" s="80" t="str">
        <x:v>I&amp;CAD layer 10</x:v>
      </x:c>
      <x:c r="B13" s="81" t="str">
        <x:v>KADDAM</x:v>
      </x:c>
      <x:c r="C13" s="84" t="n">
        <x:v>0</x:v>
      </x:c>
      <x:c r="D13" s="84" t="n">
        <x:v>7</x:v>
      </x:c>
      <x:c r="E13" s="84" t="n">
        <x:v>0</x:v>
      </x:c>
      <x:c r="F13" s="84" t="n">
        <x:v>7</x:v>
      </x:c>
      <x:c r="G13" s="85" t="n">
        <x:v>0.0028618152085036794</x:v>
      </x:c>
      <x:c r="H13" s="86" t="str">
        <x:v>No</x:v>
      </x:c>
    </x:row>
    <x:row r="14" ht="30" customHeight="1">
      <x:c r="A14" s="80" t="str">
        <x:v>I&amp;CAD layer 10</x:v>
      </x:c>
      <x:c r="B14" s="81" t="str">
        <x:v>RAJOLI BANDA DIVERSION SCHEME</x:v>
      </x:c>
      <x:c r="C14" s="84" t="n">
        <x:v>0</x:v>
      </x:c>
      <x:c r="D14" s="84" t="n">
        <x:v>3</x:v>
      </x:c>
      <x:c r="E14" s="84" t="n">
        <x:v>3</x:v>
      </x:c>
      <x:c r="F14" s="84" t="n">
        <x:v>6</x:v>
      </x:c>
      <x:c r="G14" s="85" t="n">
        <x:v>0.0024529844644317253</x:v>
      </x:c>
      <x:c r="H14" s="86" t="str">
        <x:v>No</x:v>
      </x:c>
    </x:row>
    <x:row r="15" ht="30" customHeight="1">
      <x:c r="A15" s="80" t="str">
        <x:v>I&amp;CAD layer 10</x:v>
      </x:c>
      <x:c r="B15" s="81" t="str">
        <x:v>PRIYADARSHINI JURALA PROJECT</x:v>
      </x:c>
      <x:c r="C15" s="84" t="n">
        <x:v>0</x:v>
      </x:c>
      <x:c r="D15" s="84" t="n">
        <x:v>1</x:v>
      </x:c>
      <x:c r="E15" s="84" t="n">
        <x:v>3</x:v>
      </x:c>
      <x:c r="F15" s="84" t="n">
        <x:v>4</x:v>
      </x:c>
      <x:c r="G15" s="85" t="n">
        <x:v>0.001635322976287817</x:v>
      </x:c>
      <x:c r="H15" s="86" t="str">
        <x:v>No</x:v>
      </x:c>
    </x:row>
    <x:row r="16" ht="30" customHeight="1">
      <x:c r="A16" s="80" t="str">
        <x:v>Agriculture2 layer 18</x:v>
      </x:c>
      <x:c r="B16" s="81" t="str">
        <x:v>Land Put to Non Agriculture Use</x:v>
      </x:c>
      <x:c r="C16" s="84" t="n">
        <x:v>7</x:v>
      </x:c>
      <x:c r="D16" s="84" t="n">
        <x:v>0</x:v>
      </x:c>
      <x:c r="E16" s="84" t="n">
        <x:v>0</x:v>
      </x:c>
      <x:c r="F16" s="84" t="n">
        <x:v>7</x:v>
      </x:c>
      <x:c r="G16" s="85" t="n">
        <x:v>0.0028618152085036794</x:v>
      </x:c>
      <x:c r="H16" s="86" t="str">
        <x:v>No</x:v>
      </x:c>
    </x:row>
    <x:row r="17" ht="30" customHeight="1">
      <x:c r="A17" s="80" t="str">
        <x:v>Agriculture2 layer 18</x:v>
      </x:c>
      <x:c r="B17" s="81" t="str">
        <x:v>Rajiv Bheema LIS</x:v>
      </x:c>
      <x:c r="C17" s="84" t="n">
        <x:v>5</x:v>
      </x:c>
      <x:c r="D17" s="84" t="n">
        <x:v>0</x:v>
      </x:c>
      <x:c r="E17" s="84" t="n">
        <x:v>0</x:v>
      </x:c>
      <x:c r="F17" s="84" t="n">
        <x:v>5</x:v>
      </x:c>
      <x:c r="G17" s="85" t="n">
        <x:v>0.002044153720359771</x:v>
      </x:c>
      <x:c r="H17" s="86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bc962bd9bb16452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70" hidden="0" customWidth="1"/>
    <x:col min="4" max="4" width="18" hidden="0" customWidth="1"/>
    <x:col min="5" max="5" width="72" hidden="0" customWidth="1"/>
    <x:col min="6" max="6" width="62" hidden="0" customWidth="1"/>
  </x:cols>
  <x:sheetData>
    <x:row r="1">
      <x:c r="A1" s="79" t="str">
        <x:v>Task / gate</x:v>
      </x:c>
      <x:c r="B1" s="79" t="str">
        <x:v>Owner / provider</x:v>
      </x:c>
      <x:c r="C1" s="79" t="str">
        <x:v>Required action</x:v>
      </x:c>
      <x:c r="D1" s="79" t="str">
        <x:v>Status</x:v>
      </x:c>
      <x:c r="E1" s="79" t="str">
        <x:v>Current blocker / evidence</x:v>
      </x:c>
      <x:c r="F1" s="79" t="str">
        <x:v>Close condition</x:v>
      </x:c>
    </x:row>
    <x:row r="2" ht="54" customHeight="1">
      <x:c r="A2" s="82" t="str">
        <x:v>T-P1-SH-001</x:v>
      </x:c>
      <x:c r="B2" s="82" t="str">
        <x:v>Member C — Ashwanth C</x:v>
      </x:c>
      <x:c r="C2" s="82" t="str">
        <x:v>Create the project Python environment and pin dependencies; configure pytest, Ruff, Black and isort.</x:v>
      </x:c>
      <x:c r="D2" s="87" t="str">
        <x:v>Open</x:v>
      </x:c>
      <x:c r="E2" s="82" t="str">
        <x:v>Repo currently has no requirements/pyproject/environment manifest and no tools installed.</x:v>
      </x:c>
      <x:c r="F2" s="82" t="str">
        <x:v>Clean environment setup and project checks pass.</x:v>
      </x:c>
    </x:row>
    <x:row r="3" ht="54" customHeight="1">
      <x:c r="A3" s="82" t="str">
        <x:v>T-P1-DE-001</x:v>
      </x:c>
      <x:c r="B3" s="82" t="str">
        <x:v>Member A — Peter</x:v>
      </x:c>
      <x:c r="C3" s="82" t="str">
        <x:v>Install Earth Engine API in the approved environment; configure a registered Cloud Project and authenticate locally.</x:v>
      </x:c>
      <x:c r="D3" s="87" t="str">
        <x:v>Open</x:v>
      </x:c>
      <x:c r="E3" s="82" t="str">
        <x:v>No gcloud, Earth Engine CLI or earthengine-api is present; no private account was accessed.</x:v>
      </x:c>
      <x:c r="F3" s="82" t="str">
        <x:v>All three collection probes in docs/GEE_SETUP.md succeed.</x:v>
      </x:c>
    </x:row>
    <x:row r="4" ht="54" customHeight="1">
      <x:c r="A4" s="82" t="str">
        <x:v>DS-04 / TGRAC</x:v>
      </x:c>
      <x:c r="B4" s="82" t="str">
        <x:v>Project owner + data custodian</x:v>
      </x:c>
      <x:c r="C4" s="82" t="str">
        <x:v>Obtain survey lineage/protocol, field-observation date semantics, point positional quality, crop/condition dictionaries and reuse/redistribution terms.</x:v>
      </x:c>
      <x:c r="D4" s="87" t="str">
        <x:v>Open</x:v>
      </x:c>
      <x:c r="E4" s="82" t="str">
        <x:v>TGRAC candidate points retrieved; service terms and survey QA are absent from inspected metadata.</x:v>
      </x:c>
      <x:c r="F4" s="82" t="str">
        <x:v>Written source response or authoritative metadata, with terms recorded.</x:v>
      </x:c>
    </x:row>
    <x:row r="5" ht="54" customHeight="1">
      <x:c r="A5" s="82" t="str">
        <x:v>DS-05 / boundary</x:v>
      </x:c>
      <x:c r="B5" s="82" t="str">
        <x:v>Member A + irrigation authority</x:v>
      </x:c>
      <x:c r="C5" s="82" t="str">
        <x:v>Confirm I&amp;CAD layer/version provenance, topology and terms; obtain the NWIC CRS, feature semantics and reuse terms, then verify any matched boundary.</x:v>
      </x:c>
      <x:c r="D5" s="87" t="str">
        <x:v>Open</x:v>
      </x:c>
      <x:c r="E5" s="82" t="str">
        <x:v>NWIC includes same-named Sriramsagar Stage-I project but declares no CRS; its area_ha differs from TGRAC Ayacut_ha and “Other (Open)” is nonspecific.</x:v>
      </x:c>
      <x:c r="F5" s="82" t="str">
        <x:v>Authoritative boundary/version, CRS, area semantics and applicable reuse terms documented.</x:v>
      </x:c>
    </x:row>
    <x:row r="6" ht="54" customHeight="1">
      <x:c r="A6" s="82" t="str">
        <x:v>DS-09 / AOI</x:v>
      </x:c>
      <x:c r="B6" s="82" t="str">
        <x:v>Project owner + all three members</x:v>
      </x:c>
      <x:c r="C6" s="82" t="str">
        <x:v>Review ranked evidence and select or defer the pilot; decide whether SRSP Stage I or Wanaparthy focus matches project intent.</x:v>
      </x:c>
      <x:c r="D6" s="87" t="str">
        <x:v>Open</x:v>
      </x:c>
      <x:c r="E6" s="82" t="str">
        <x:v>SRSP has the largest overlap (147); 12 Wanaparthy-tagged points miss the seven queried commands.</x:v>
      </x:c>
      <x:c r="F6" s="82" t="str">
        <x:v>AOI/study period and required team approvals recorded; do not call SRSP verified yet.</x:v>
      </x:c>
    </x:row>
    <x:row r="7" ht="54" customHeight="1">
      <x:c r="A7" s="82" t="str">
        <x:v>Alternative labels</x:v>
      </x:c>
      <x:c r="B7" s="82" t="str">
        <x:v>Member B + WRMS/Zindi</x:v>
      </x:c>
      <x:c r="C7" s="82" t="str">
        <x:v>Obtain CRS and survey/label protocol; assess pixel/date matching and spatial validation feasibility; confirm intended project use follows CC-BY-SA attribution/share-alike.</x:v>
      </x:c>
      <x:c r="D7" s="87" t="str">
        <x:v>Open</x:v>
      </x:c>
      <x:c r="E7" s="82" t="str">
        <x:v>Full CSV acquired and counted (SHA-256 recorded); ADeX returns 404; CRS, topology and label protocol remain unverified.</x:v>
      </x:c>
      <x:c r="F7" s="82" t="str">
        <x:v>Source metadata/protocol and CRS documented, with accepted spatial/date design and reuse conditions.</x:v>
      </x:c>
    </x:row>
    <x:row r="8" ht="54" customHeight="1">
      <x:c r="A8" s="82" t="str">
        <x:v>DS-06 / DS-07</x:v>
      </x:c>
      <x:c r="B8" s="82" t="str">
        <x:v>Member B + Member A</x:v>
      </x:c>
      <x:c r="C8" s="82" t="str">
        <x:v>Review ICAR Telangana Kharif advisory and generic FAO-56 Kc table against approved target crops/season; identify a suitable Rabi calendar and any local Kc calibration.</x:v>
      </x:c>
      <x:c r="D8" s="87" t="str">
        <x:v>Open</x:v>
      </x:c>
      <x:c r="E8" s="82" t="str">
        <x:v>Initial references identified; ICAR is not a pilot-specific Rabi calendar and FAO-56 values are generic.</x:v>
      </x:c>
      <x:c r="F8" s="82" t="str">
        <x:v>Crop/season-appropriate calendar and supported Kc inputs selected under the member review process.</x:v>
      </x:c>
    </x:row>
    <x:row r="9" ht="54" customHeight="1">
      <x:c r="A9" s="82" t="str">
        <x:v>Stress / advisory validation</x:v>
      </x:c>
      <x:c r="B9" s="82" t="str">
        <x:v>Project team + field partners</x:v>
      </x:c>
      <x:c r="C9" s="82" t="str">
        <x:v>Obtain independent soil/root-zone moisture reference, irrigation event date/quantity and recommendation outcomes, or narrow the validated claim.</x:v>
      </x:c>
      <x:c r="D9" s="87" t="str">
        <x:v>Open</x:v>
      </x:c>
      <x:c r="E9" s="82" t="str">
        <x:v>No inspected source provides those independent target observations.</x:v>
      </x:c>
      <x:c r="F9" s="82" t="str">
        <x:v>Traceable validation source and accepted methodology documented.</x:v>
      </x:c>
    </x:row>
    <x:row r="10" ht="54" customHeight="1">
      <x:c r="A10" s="82" t="str">
        <x:v>Proposed conventions / contracts</x:v>
      </x:c>
      <x:c r="B10" s="82" t="str">
        <x:v>All three members</x:v>
      </x:c>
      <x:c r="C10" s="82" t="str">
        <x:v>Review processing conventions and module interface proposal; resolve open choices without changing approved contracts unilaterally.</x:v>
      </x:c>
      <x:c r="D10" s="87" t="str">
        <x:v>Open</x:v>
      </x:c>
      <x:c r="E10" s="82" t="str">
        <x:v>Documents are proposals, not shared approval or implemented code.</x:v>
      </x:c>
      <x:c r="F10" s="82" t="str">
        <x:v>Member review recorded; shared contract changes follow unanimous rules.</x:v>
      </x:c>
    </x:row>
  </x:sheetData>
  <x:dataValidations count="1">
    <x:dataValidation type="list" sqref="D2:D10">
      <x:formula1>"Open,In 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fb4d2a9c064569"/>
  </x:tableParts>
</x:worksheet>
</file>